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" sheetId="1" state="visible" r:id="rId3"/>
    <sheet name="Hitung" sheetId="2" state="visible" r:id="rId4"/>
    <sheet name="Kalibrasi" sheetId="3" state="visible" r:id="rId5"/>
    <sheet name="Gala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<sst xmlns="http://schemas.openxmlformats.org/spreadsheetml/2006/main" count="257" uniqueCount="205">
  <si>
    <t xml:space="preserve">Input parameter - Hand grip dynamometer (CZL 601 80 kg + HX711)</t>
  </si>
  <si>
    <t xml:space="preserve">Legenda: sel BIRU dengan latar KUNING = input yang boleh diubah. Semua sheet lain berisi rumus dan ikut berubah. Sumber: DS-LC1 dan DS-HX1 di ds-library.md ([4]-[6] load cell, [2] Avia).</t>
  </si>
  <si>
    <t xml:space="preserve">Parameter</t>
  </si>
  <si>
    <t xml:space="preserve">Nilai</t>
  </si>
  <si>
    <t xml:space="preserve">Satuan</t>
  </si>
  <si>
    <t xml:space="preserve">Sumber / catatan</t>
  </si>
  <si>
    <t xml:space="preserve">Sensitivitas load cell (S)</t>
  </si>
  <si>
    <t xml:space="preserve">mV/V</t>
  </si>
  <si>
    <t xml:space="preserve">Eagle Weigh [5]: 2,0 +-0,15 mV/V; nominal</t>
  </si>
  <si>
    <t xml:space="preserve">Kapasitas load cell</t>
  </si>
  <si>
    <t xml:space="preserve">kg</t>
  </si>
  <si>
    <t xml:space="preserve">Eagle Weigh [5]</t>
  </si>
  <si>
    <t xml:space="preserve">Beban maksimum yang dipakai</t>
  </si>
  <si>
    <t xml:space="preserve">kgf</t>
  </si>
  <si>
    <t xml:space="preserve">Asumsi proyek: pria muda maks sekitar 59 kgf (Gotthelf) + margin</t>
  </si>
  <si>
    <t xml:space="preserve">Beban genggam tipikal (untuk % galat)</t>
  </si>
  <si>
    <t xml:space="preserve">Wanita 20-24 th rata-rata 31,7 kgf (Gotthelf)</t>
  </si>
  <si>
    <t xml:space="preserve">Resistansi masukan jembatan</t>
  </si>
  <si>
    <t xml:space="preserve">ohm</t>
  </si>
  <si>
    <t xml:space="preserve">GJ Impex [6]: 400 +-10; vendor 401 +-10; ukur saat tiba</t>
  </si>
  <si>
    <t xml:space="preserve">Tegangan eksitasi E+ (V_exc)</t>
  </si>
  <si>
    <t xml:space="preserve">V</t>
  </si>
  <si>
    <t xml:space="preserve">Ukur di papan. Papan cacat: sekitar 4,3 V pada catu 5 V; catu 3,3 V: isi 3,3</t>
  </si>
  <si>
    <t xml:space="preserve">AVDD HX711</t>
  </si>
  <si>
    <t xml:space="preserve">Ukur; harus sama dengan catu modul</t>
  </si>
  <si>
    <t xml:space="preserve">Gain kanal A</t>
  </si>
  <si>
    <t xml:space="preserve">-</t>
  </si>
  <si>
    <t xml:space="preserve">Avia [2]: 128 atau 64</t>
  </si>
  <si>
    <t xml:space="preserve">Noise masukan 10 SPS</t>
  </si>
  <si>
    <t xml:space="preserve">nV rms</t>
  </si>
  <si>
    <t xml:space="preserve">Avia [2], gain 128</t>
  </si>
  <si>
    <t xml:space="preserve">Noise masukan 80 SPS</t>
  </si>
  <si>
    <t xml:space="preserve">Laju data terpilih</t>
  </si>
  <si>
    <t xml:space="preserve">SPS</t>
  </si>
  <si>
    <t xml:space="preserve">10 (bawaan papan) atau 80</t>
  </si>
  <si>
    <t xml:space="preserve">Lebar kode ADC</t>
  </si>
  <si>
    <t xml:space="preserve">bit</t>
  </si>
  <si>
    <t xml:space="preserve">Avia [2]</t>
  </si>
  <si>
    <t xml:space="preserve">Offset common-mode bawah</t>
  </si>
  <si>
    <t xml:space="preserve">Avia: AGND + 1,2 V</t>
  </si>
  <si>
    <t xml:space="preserve">Offset common-mode atas</t>
  </si>
  <si>
    <t xml:space="preserve">Avia: AVDD - 1,3 V</t>
  </si>
  <si>
    <t xml:space="preserve">Overload aman</t>
  </si>
  <si>
    <t xml:space="preserve">% FS</t>
  </si>
  <si>
    <t xml:space="preserve">GJ Impex [6] (konservatif; vendor 150)</t>
  </si>
  <si>
    <t xml:space="preserve">Overload destruktif</t>
  </si>
  <si>
    <t xml:space="preserve">GJ Impex [6] (konservatif; vendor 200)</t>
  </si>
  <si>
    <t xml:space="preserve">Error gabungan</t>
  </si>
  <si>
    <t xml:space="preserve">%RO</t>
  </si>
  <si>
    <t xml:space="preserve">Eagle Weigh [5]: &lt;= +-0,03 %RO</t>
  </si>
  <si>
    <t xml:space="preserve">Creep (30 menit)</t>
  </si>
  <si>
    <t xml:space="preserve">% FSO</t>
  </si>
  <si>
    <t xml:space="preserve">GJ Impex [6]: &lt;0,025 (vendor 0,0016 tidak dipakai)</t>
  </si>
  <si>
    <t xml:space="preserve">Zero balance</t>
  </si>
  <si>
    <t xml:space="preserve">GJ Impex [6]: &lt;+-1</t>
  </si>
  <si>
    <t xml:space="preserve">Toleransi sensitivitas</t>
  </si>
  <si>
    <t xml:space="preserve">Efek suhu load cell (nol dan span)</t>
  </si>
  <si>
    <t xml:space="preserve">% FSO/10 C</t>
  </si>
  <si>
    <t xml:space="preserve">GJ Impex [6]</t>
  </si>
  <si>
    <t xml:space="preserve">Perubahan suhu selama pemakaian</t>
  </si>
  <si>
    <t xml:space="preserve">C</t>
  </si>
  <si>
    <t xml:space="preserve">Asumsi</t>
  </si>
  <si>
    <t xml:space="preserve">Drift offset HX711</t>
  </si>
  <si>
    <t xml:space="preserve">nV/C</t>
  </si>
  <si>
    <t xml:space="preserve">Arus HX711</t>
  </si>
  <si>
    <t xml:space="preserve">mA</t>
  </si>
  <si>
    <t xml:space="preserve">Avia [2]: &lt; 1,5 mA</t>
  </si>
  <si>
    <t xml:space="preserve">Percepatan gravitasi</t>
  </si>
  <si>
    <t xml:space="preserve">m/s^2</t>
  </si>
  <si>
    <t xml:space="preserve">Konstanta standar</t>
  </si>
  <si>
    <t xml:space="preserve">Durasi tahan genggam</t>
  </si>
  <si>
    <t xml:space="preserve">s</t>
  </si>
  <si>
    <t xml:space="preserve">Asumsi protokol 3-5 s</t>
  </si>
  <si>
    <t xml:space="preserve">Massa bagian housing yang membebani sel</t>
  </si>
  <si>
    <t xml:space="preserve">Asumsi dari estimasi sebelumnya (0,14 kg untuk 90 derajat); ganti dengan timbangan</t>
  </si>
  <si>
    <t xml:space="preserve">Sudut kemiringan antara tare dan pakai</t>
  </si>
  <si>
    <t xml:space="preserve">derajat</t>
  </si>
  <si>
    <t xml:space="preserve">Skenario terburuk 90 atau 180</t>
  </si>
  <si>
    <t xml:space="preserve">Jumlah pembacaan awal dibuang</t>
  </si>
  <si>
    <t xml:space="preserve">sampel</t>
  </si>
  <si>
    <t xml:space="preserve">Settling 400 ms pada 10 Hz</t>
  </si>
  <si>
    <t xml:space="preserve">Perhitungan utama (semua rumus; ubah nilai di sheet Input)</t>
  </si>
  <si>
    <t xml:space="preserve">Besaran</t>
  </si>
  <si>
    <t xml:space="preserve">Rumus / arti</t>
  </si>
  <si>
    <t xml:space="preserve">1. Sinyal jembatan</t>
  </si>
  <si>
    <t xml:space="preserve">Keluaran jembatan pada skala penuh</t>
  </si>
  <si>
    <t xml:space="preserve">mV</t>
  </si>
  <si>
    <t xml:space="preserve">S x V_exc</t>
  </si>
  <si>
    <t xml:space="preserve">Keluaran pada beban maksimum</t>
  </si>
  <si>
    <t xml:space="preserve">S x V_exc x F/F_rated (kgf dianggap sama dengan kg)</t>
  </si>
  <si>
    <t xml:space="preserve">Sensitivitas absolut</t>
  </si>
  <si>
    <t xml:space="preserve">nV/g</t>
  </si>
  <si>
    <t xml:space="preserve">Pengubah noise ke gram</t>
  </si>
  <si>
    <t xml:space="preserve">2. Rentang ADC</t>
  </si>
  <si>
    <t xml:space="preserve">Skala penuh ADC (+-)</t>
  </si>
  <si>
    <t xml:space="preserve">0,5 x AVDD / gain</t>
  </si>
  <si>
    <t xml:space="preserve">Pemakaian rentang pada kapasitas penuh</t>
  </si>
  <si>
    <t xml:space="preserve">Saturasi jika &gt; 1</t>
  </si>
  <si>
    <t xml:space="preserve">Pemakaian rentang pada beban maksimum</t>
  </si>
  <si>
    <t xml:space="preserve">Pemakaian pada overload aman</t>
  </si>
  <si>
    <t xml:space="preserve">Pemakaian pada overload destruktif</t>
  </si>
  <si>
    <t xml:space="preserve">Status saturasi</t>
  </si>
  <si>
    <t xml:space="preserve">Pada overload destruktif</t>
  </si>
  <si>
    <t xml:space="preserve">3. Common-mode</t>
  </si>
  <si>
    <t xml:space="preserve">Titik tengah jembatan</t>
  </si>
  <si>
    <t xml:space="preserve">Perkiraan: E+/2</t>
  </si>
  <si>
    <t xml:space="preserve">Batas bawah</t>
  </si>
  <si>
    <t xml:space="preserve">AGND + 1,2</t>
  </si>
  <si>
    <t xml:space="preserve">Batas atas</t>
  </si>
  <si>
    <t xml:space="preserve">AVDD - 1,3</t>
  </si>
  <si>
    <t xml:space="preserve">Status</t>
  </si>
  <si>
    <t xml:space="preserve">4. Hitungan ADC (counts)</t>
  </si>
  <si>
    <t xml:space="preserve">Hitungan pada kapasitas penuh</t>
  </si>
  <si>
    <t xml:space="preserve">count</t>
  </si>
  <si>
    <t xml:space="preserve">Pemakaian x 2^23</t>
  </si>
  <si>
    <t xml:space="preserve">Faktor skala ideal</t>
  </si>
  <si>
    <t xml:space="preserve">count/g</t>
  </si>
  <si>
    <t xml:space="preserve">Bandingkan dengan hasil kalibrasi</t>
  </si>
  <si>
    <t xml:space="preserve">LSB ideal</t>
  </si>
  <si>
    <t xml:space="preserve">mg</t>
  </si>
  <si>
    <t xml:space="preserve">Resolusi kuantisasi</t>
  </si>
  <si>
    <t xml:space="preserve">5. Noise</t>
  </si>
  <si>
    <t xml:space="preserve">Noise rms pada laju terpilih</t>
  </si>
  <si>
    <t xml:space="preserve">g rms</t>
  </si>
  <si>
    <t xml:space="preserve">nV / (nV/g)</t>
  </si>
  <si>
    <t xml:space="preserve">Noise 10 SPS</t>
  </si>
  <si>
    <t xml:space="preserve">Noise 80 SPS</t>
  </si>
  <si>
    <t xml:space="preserve">Noise dalam count (laju terpilih)</t>
  </si>
  <si>
    <t xml:space="preserve">count rms</t>
  </si>
  <si>
    <t xml:space="preserve">Noise puncak-ke-puncak (6,6 sigma)</t>
  </si>
  <si>
    <t xml:space="preserve">g</t>
  </si>
  <si>
    <t xml:space="preserve">Bit bebas-noise pada beban maksimum</t>
  </si>
  <si>
    <t xml:space="preserve">log2(rentang / p-p)</t>
  </si>
  <si>
    <t xml:space="preserve">6. Rata-rata dan waktu</t>
  </si>
  <si>
    <t xml:space="preserve">Interval sampel</t>
  </si>
  <si>
    <t xml:space="preserve">ms</t>
  </si>
  <si>
    <t xml:space="preserve">Sampel selama tahan</t>
  </si>
  <si>
    <t xml:space="preserve">Waktu pembuangan pembacaan awal</t>
  </si>
  <si>
    <t xml:space="preserve">Noise setelah rata-rata 1 s</t>
  </si>
  <si>
    <t xml:space="preserve">sigma/akar N; hanya jika noise putih</t>
  </si>
  <si>
    <t xml:space="preserve">Noise setelah rata-rata selama tahan</t>
  </si>
  <si>
    <t xml:space="preserve">7. Margin beban</t>
  </si>
  <si>
    <t xml:space="preserve">Beban maksimum / kapasitas</t>
  </si>
  <si>
    <t xml:space="preserve">Batas aman mekanis</t>
  </si>
  <si>
    <t xml:space="preserve">Konservatif</t>
  </si>
  <si>
    <t xml:space="preserve">Margin terhadap batas aman</t>
  </si>
  <si>
    <t xml:space="preserve">x</t>
  </si>
  <si>
    <t xml:space="preserve">Batas destruktif</t>
  </si>
  <si>
    <t xml:space="preserve">Beban maksimum</t>
  </si>
  <si>
    <t xml:space="preserve">N</t>
  </si>
  <si>
    <t xml:space="preserve">kgf x 9,80665</t>
  </si>
  <si>
    <t xml:space="preserve">8. Daya dan arus</t>
  </si>
  <si>
    <t xml:space="preserve">Arus eksitasi jembatan</t>
  </si>
  <si>
    <t xml:space="preserve">V/R</t>
  </si>
  <si>
    <t xml:space="preserve">Arus total jembatan + HX711</t>
  </si>
  <si>
    <t xml:space="preserve">Masukkan ke anggaran daya ESP32</t>
  </si>
  <si>
    <t xml:space="preserve">Kalibrasi: regresi linear massa terhadap hitungan ADC</t>
  </si>
  <si>
    <t xml:space="preserve">Legenda: kolom A-B (biru, kuning) diisi dari uji kalibrasi. Data di bawah adalah CONTOH rekaan untuk memperlihatkan format, BUKAN hasil ukur. Hapus dan ganti dengan data Anda.</t>
  </si>
  <si>
    <t xml:space="preserve">Massa (kg)</t>
  </si>
  <si>
    <t xml:space="preserve">Hitungan ADC (rata-rata)</t>
  </si>
  <si>
    <t xml:space="preserve">Prediksi (kg)</t>
  </si>
  <si>
    <t xml:space="preserve">Residu (g)</t>
  </si>
  <si>
    <t xml:space="preserve">Hasil</t>
  </si>
  <si>
    <t xml:space="preserve">Kemiringan (kg per count)</t>
  </si>
  <si>
    <t xml:space="preserve">kg/count</t>
  </si>
  <si>
    <t xml:space="preserve">Faktor skala k</t>
  </si>
  <si>
    <t xml:space="preserve">g/count</t>
  </si>
  <si>
    <t xml:space="preserve">Offset N0 (count pada 0 kg)</t>
  </si>
  <si>
    <t xml:space="preserve">R kuadrat</t>
  </si>
  <si>
    <t xml:space="preserve">Galat baku regresi</t>
  </si>
  <si>
    <t xml:space="preserve">Galat baku kemiringan (relatif)</t>
  </si>
  <si>
    <t xml:space="preserve">Count/g terukur</t>
  </si>
  <si>
    <t xml:space="preserve">Selisih dari faktor ideal (Hitung)</t>
  </si>
  <si>
    <t xml:space="preserve">Cara pakai: W(g) = (N - N0) x k. Tare menyetel N0 ulang sebelum tiap pengukuran. Titik di antara 3-5 massa mati, naik dan turun (histeresis).</t>
  </si>
  <si>
    <t xml:space="preserve">Anggaran galat (dalam gram pada kapasitas penuh)</t>
  </si>
  <si>
    <t xml:space="preserve">Kolom "Masuk RSS" (biru, kuning): 1 = ikut digabung, 0 = dihapus oleh tare atau kalibrasi. Ubah sesuai prosedur.</t>
  </si>
  <si>
    <t xml:space="preserve">Sumber galat</t>
  </si>
  <si>
    <t xml:space="preserve">Besar (g)</t>
  </si>
  <si>
    <t xml:space="preserve">Masuk RSS (1/0)</t>
  </si>
  <si>
    <t xml:space="preserve">Dihapus oleh</t>
  </si>
  <si>
    <t xml:space="preserve">Catatan</t>
  </si>
  <si>
    <t xml:space="preserve">Error gabungan load cell</t>
  </si>
  <si>
    <t xml:space="preserve">Linearitas + histeresis + repeatabilitas; nilai Eagle Weigh</t>
  </si>
  <si>
    <t xml:space="preserve">Tare</t>
  </si>
  <si>
    <t xml:space="preserve">Offset awal</t>
  </si>
  <si>
    <t xml:space="preserve">Kalibrasi</t>
  </si>
  <si>
    <t xml:space="preserve">+-0,15/2,0 = 7,5% dari skala</t>
  </si>
  <si>
    <t xml:space="preserve">Efek suhu load cell</t>
  </si>
  <si>
    <t xml:space="preserve">Nol + span, kasus terburuk</t>
  </si>
  <si>
    <t xml:space="preserve">nV/C x dT / (nV/g)</t>
  </si>
  <si>
    <t xml:space="preserve">Noise HX711 (laju terpilih)</t>
  </si>
  <si>
    <t xml:space="preserve">1 sigma</t>
  </si>
  <si>
    <t xml:space="preserve">Creep selama 30 menit</t>
  </si>
  <si>
    <t xml:space="preserve">Durasi tahan beberapa detik</t>
  </si>
  <si>
    <t xml:space="preserve">Tidak relevan untuk genggam 3-5 s; relevan untuk beban kalibrasi lama</t>
  </si>
  <si>
    <t xml:space="preserve">Efek kemiringan housing</t>
  </si>
  <si>
    <t xml:space="preserve">Tare pada postur akhir</t>
  </si>
  <si>
    <t xml:space="preserve">m x (1 - cos teta)</t>
  </si>
  <si>
    <t xml:space="preserve">Gabungan RSS (yang ikut)</t>
  </si>
  <si>
    <t xml:space="preserve">Akar jumlah kuadrat</t>
  </si>
  <si>
    <t xml:space="preserve">Gabungan sebagai % kapasitas</t>
  </si>
  <si>
    <t xml:space="preserve">Gabungan pada beban tipikal (% pembacaan)</t>
  </si>
  <si>
    <t xml:space="preserve">Beban tipikal dari Input</t>
  </si>
  <si>
    <t xml:space="preserve">Gabungan pada beban maksimum (% pembacaan)</t>
  </si>
  <si>
    <t xml:space="preserve">Catatan: ini batas bawah ketidakpastian. Massa kalibrasi, pemasangan, dan beban off-centre menambah galat dan harus diukur.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</si>
</sst>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0"/>
    <numFmt numFmtId="166" formatCode="#,##0"/>
    <numFmt numFmtId="167" formatCode="0.0"/>
    <numFmt numFmtId="168" formatCode="0"/>
    <numFmt numFmtId="169" formatCode="0.00E+00"/>
    <numFmt numFmtId="170" formatCode="0.0000"/>
    <numFmt numFmtId="171" formatCode="0.000000"/>
    <numFmt numFmtId="172" formatCode="0.00"/>
    <numFmt numFmtId="173" formatCode="0.0%"/>
    <numFmt numFmtId="174" formatCode="0.000%"/>
    <numFmt numFmtId="175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" t="s">
        <v>0</v>
      </c>
    </row>
    <row r="2" customFormat="false" ht="39.75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5" hidden="false" customHeight="false" outlineLevel="0" collapsed="false">
      <c r="A4" s="4" t="s">
        <v>6</v>
      </c>
      <c r="B4" s="5" t="n">
        <v>2</v>
      </c>
      <c r="C4" s="4" t="s">
        <v>7</v>
      </c>
      <c r="D4" s="4" t="s">
        <v>8</v>
      </c>
    </row>
    <row r="5" customFormat="false" ht="15" hidden="false" customHeight="false" outlineLevel="0" collapsed="false">
      <c r="A5" s="4" t="s">
        <v>9</v>
      </c>
      <c r="B5" s="5" t="n">
        <v>80</v>
      </c>
      <c r="C5" s="4" t="s">
        <v>10</v>
      </c>
      <c r="D5" s="4" t="s">
        <v>11</v>
      </c>
    </row>
    <row r="6" customFormat="false" ht="15" hidden="false" customHeight="false" outlineLevel="0" collapsed="false">
      <c r="A6" s="4" t="s">
        <v>12</v>
      </c>
      <c r="B6" s="5" t="n">
        <v>70</v>
      </c>
      <c r="C6" s="4" t="s">
        <v>13</v>
      </c>
      <c r="D6" s="4" t="s">
        <v>14</v>
      </c>
    </row>
    <row r="7" customFormat="false" ht="15" hidden="false" customHeight="false" outlineLevel="0" collapsed="false">
      <c r="A7" s="4" t="s">
        <v>15</v>
      </c>
      <c r="B7" s="5" t="n">
        <v>30</v>
      </c>
      <c r="C7" s="4" t="s">
        <v>13</v>
      </c>
      <c r="D7" s="4" t="s">
        <v>16</v>
      </c>
    </row>
    <row r="8" customFormat="false" ht="15" hidden="false" customHeight="false" outlineLevel="0" collapsed="false">
      <c r="A8" s="4" t="s">
        <v>17</v>
      </c>
      <c r="B8" s="5" t="n">
        <v>400</v>
      </c>
      <c r="C8" s="4" t="s">
        <v>18</v>
      </c>
      <c r="D8" s="4" t="s">
        <v>19</v>
      </c>
    </row>
    <row r="9" customFormat="false" ht="15" hidden="false" customHeight="false" outlineLevel="0" collapsed="false">
      <c r="A9" s="4" t="s">
        <v>20</v>
      </c>
      <c r="B9" s="5" t="n">
        <v>5</v>
      </c>
      <c r="C9" s="4" t="s">
        <v>21</v>
      </c>
      <c r="D9" s="4" t="s">
        <v>22</v>
      </c>
    </row>
    <row r="10" customFormat="false" ht="15" hidden="false" customHeight="false" outlineLevel="0" collapsed="false">
      <c r="A10" s="4" t="s">
        <v>23</v>
      </c>
      <c r="B10" s="5" t="n">
        <v>5</v>
      </c>
      <c r="C10" s="4" t="s">
        <v>21</v>
      </c>
      <c r="D10" s="4" t="s">
        <v>24</v>
      </c>
    </row>
    <row r="11" customFormat="false" ht="15" hidden="false" customHeight="false" outlineLevel="0" collapsed="false">
      <c r="A11" s="4" t="s">
        <v>25</v>
      </c>
      <c r="B11" s="5" t="n">
        <v>128</v>
      </c>
      <c r="C11" s="4" t="s">
        <v>26</v>
      </c>
      <c r="D11" s="4" t="s">
        <v>27</v>
      </c>
    </row>
    <row r="12" customFormat="false" ht="15" hidden="false" customHeight="false" outlineLevel="0" collapsed="false">
      <c r="A12" s="4" t="s">
        <v>28</v>
      </c>
      <c r="B12" s="5" t="n">
        <v>50</v>
      </c>
      <c r="C12" s="4" t="s">
        <v>29</v>
      </c>
      <c r="D12" s="4" t="s">
        <v>30</v>
      </c>
    </row>
    <row r="13" customFormat="false" ht="15" hidden="false" customHeight="false" outlineLevel="0" collapsed="false">
      <c r="A13" s="4" t="s">
        <v>31</v>
      </c>
      <c r="B13" s="5" t="n">
        <v>90</v>
      </c>
      <c r="C13" s="4" t="s">
        <v>29</v>
      </c>
      <c r="D13" s="4" t="s">
        <v>30</v>
      </c>
    </row>
    <row r="14" customFormat="false" ht="15" hidden="false" customHeight="false" outlineLevel="0" collapsed="false">
      <c r="A14" s="4" t="s">
        <v>32</v>
      </c>
      <c r="B14" s="5" t="n">
        <v>10</v>
      </c>
      <c r="C14" s="4" t="s">
        <v>33</v>
      </c>
      <c r="D14" s="4" t="s">
        <v>34</v>
      </c>
    </row>
    <row r="15" customFormat="false" ht="15" hidden="false" customHeight="false" outlineLevel="0" collapsed="false">
      <c r="A15" s="4" t="s">
        <v>35</v>
      </c>
      <c r="B15" s="5" t="n">
        <v>24</v>
      </c>
      <c r="C15" s="4" t="s">
        <v>36</v>
      </c>
      <c r="D15" s="4" t="s">
        <v>37</v>
      </c>
    </row>
    <row r="16" customFormat="false" ht="15" hidden="false" customHeight="false" outlineLevel="0" collapsed="false">
      <c r="A16" s="4" t="s">
        <v>38</v>
      </c>
      <c r="B16" s="5" t="n">
        <v>1.2</v>
      </c>
      <c r="C16" s="4" t="s">
        <v>21</v>
      </c>
      <c r="D16" s="4" t="s">
        <v>39</v>
      </c>
    </row>
    <row r="17" customFormat="false" ht="15" hidden="false" customHeight="false" outlineLevel="0" collapsed="false">
      <c r="A17" s="4" t="s">
        <v>40</v>
      </c>
      <c r="B17" s="5" t="n">
        <v>1.3</v>
      </c>
      <c r="C17" s="4" t="s">
        <v>21</v>
      </c>
      <c r="D17" s="4" t="s">
        <v>41</v>
      </c>
    </row>
    <row r="18" customFormat="false" ht="15" hidden="false" customHeight="false" outlineLevel="0" collapsed="false">
      <c r="A18" s="4" t="s">
        <v>42</v>
      </c>
      <c r="B18" s="5" t="n">
        <v>120</v>
      </c>
      <c r="C18" s="4" t="s">
        <v>43</v>
      </c>
      <c r="D18" s="4" t="s">
        <v>44</v>
      </c>
    </row>
    <row r="19" customFormat="false" ht="15" hidden="false" customHeight="false" outlineLevel="0" collapsed="false">
      <c r="A19" s="4" t="s">
        <v>45</v>
      </c>
      <c r="B19" s="5" t="n">
        <v>150</v>
      </c>
      <c r="C19" s="4" t="s">
        <v>43</v>
      </c>
      <c r="D19" s="4" t="s">
        <v>46</v>
      </c>
    </row>
    <row r="20" customFormat="false" ht="15" hidden="false" customHeight="false" outlineLevel="0" collapsed="false">
      <c r="A20" s="4" t="s">
        <v>47</v>
      </c>
      <c r="B20" s="5" t="n">
        <v>0.03</v>
      </c>
      <c r="C20" s="4" t="s">
        <v>48</v>
      </c>
      <c r="D20" s="4" t="s">
        <v>49</v>
      </c>
    </row>
    <row r="21" customFormat="false" ht="15" hidden="false" customHeight="false" outlineLevel="0" collapsed="false">
      <c r="A21" s="4" t="s">
        <v>50</v>
      </c>
      <c r="B21" s="5" t="n">
        <v>0.025</v>
      </c>
      <c r="C21" s="4" t="s">
        <v>51</v>
      </c>
      <c r="D21" s="4" t="s">
        <v>52</v>
      </c>
    </row>
    <row r="22" customFormat="false" ht="15" hidden="false" customHeight="false" outlineLevel="0" collapsed="false">
      <c r="A22" s="4" t="s">
        <v>53</v>
      </c>
      <c r="B22" s="5" t="n">
        <v>1</v>
      </c>
      <c r="C22" s="4" t="s">
        <v>43</v>
      </c>
      <c r="D22" s="4" t="s">
        <v>54</v>
      </c>
    </row>
    <row r="23" customFormat="false" ht="15" hidden="false" customHeight="false" outlineLevel="0" collapsed="false">
      <c r="A23" s="4" t="s">
        <v>55</v>
      </c>
      <c r="B23" s="5" t="n">
        <v>0.15</v>
      </c>
      <c r="C23" s="4" t="s">
        <v>7</v>
      </c>
      <c r="D23" s="4" t="s">
        <v>11</v>
      </c>
    </row>
    <row r="24" customFormat="false" ht="15" hidden="false" customHeight="false" outlineLevel="0" collapsed="false">
      <c r="A24" s="4" t="s">
        <v>56</v>
      </c>
      <c r="B24" s="5" t="n">
        <v>0.03</v>
      </c>
      <c r="C24" s="4" t="s">
        <v>57</v>
      </c>
      <c r="D24" s="4" t="s">
        <v>58</v>
      </c>
    </row>
    <row r="25" customFormat="false" ht="15" hidden="false" customHeight="false" outlineLevel="0" collapsed="false">
      <c r="A25" s="4" t="s">
        <v>59</v>
      </c>
      <c r="B25" s="5" t="n">
        <v>10</v>
      </c>
      <c r="C25" s="4" t="s">
        <v>60</v>
      </c>
      <c r="D25" s="4" t="s">
        <v>61</v>
      </c>
    </row>
    <row r="26" customFormat="false" ht="15" hidden="false" customHeight="false" outlineLevel="0" collapsed="false">
      <c r="A26" s="4" t="s">
        <v>62</v>
      </c>
      <c r="B26" s="5" t="n">
        <v>6</v>
      </c>
      <c r="C26" s="4" t="s">
        <v>63</v>
      </c>
      <c r="D26" s="4" t="s">
        <v>37</v>
      </c>
    </row>
    <row r="27" customFormat="false" ht="15" hidden="false" customHeight="false" outlineLevel="0" collapsed="false">
      <c r="A27" s="4" t="s">
        <v>64</v>
      </c>
      <c r="B27" s="5" t="n">
        <v>1.5</v>
      </c>
      <c r="C27" s="4" t="s">
        <v>65</v>
      </c>
      <c r="D27" s="4" t="s">
        <v>66</v>
      </c>
    </row>
    <row r="28" customFormat="false" ht="15" hidden="false" customHeight="false" outlineLevel="0" collapsed="false">
      <c r="A28" s="4" t="s">
        <v>67</v>
      </c>
      <c r="B28" s="5" t="n">
        <v>9.80665</v>
      </c>
      <c r="C28" s="4" t="s">
        <v>68</v>
      </c>
      <c r="D28" s="4" t="s">
        <v>69</v>
      </c>
    </row>
    <row r="29" customFormat="false" ht="15" hidden="false" customHeight="false" outlineLevel="0" collapsed="false">
      <c r="A29" s="4" t="s">
        <v>70</v>
      </c>
      <c r="B29" s="5" t="n">
        <v>4</v>
      </c>
      <c r="C29" s="4" t="s">
        <v>71</v>
      </c>
      <c r="D29" s="4" t="s">
        <v>72</v>
      </c>
    </row>
    <row r="30" customFormat="false" ht="15" hidden="false" customHeight="false" outlineLevel="0" collapsed="false">
      <c r="A30" s="4" t="s">
        <v>73</v>
      </c>
      <c r="B30" s="5" t="n">
        <v>0.14</v>
      </c>
      <c r="C30" s="4" t="s">
        <v>10</v>
      </c>
      <c r="D30" s="4" t="s">
        <v>74</v>
      </c>
    </row>
    <row r="31" customFormat="false" ht="15" hidden="false" customHeight="false" outlineLevel="0" collapsed="false">
      <c r="A31" s="4" t="s">
        <v>75</v>
      </c>
      <c r="B31" s="5" t="n">
        <v>90</v>
      </c>
      <c r="C31" s="4" t="s">
        <v>76</v>
      </c>
      <c r="D31" s="4" t="s">
        <v>77</v>
      </c>
    </row>
    <row r="32" customFormat="false" ht="15" hidden="false" customHeight="false" outlineLevel="0" collapsed="false">
      <c r="A32" s="4" t="s">
        <v>78</v>
      </c>
      <c r="B32" s="5" t="n">
        <v>4</v>
      </c>
      <c r="C32" s="4" t="s">
        <v>79</v>
      </c>
      <c r="D32" s="4" t="s">
        <v>80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81</v>
      </c>
    </row>
    <row r="2" customFormat="false" ht="15" hidden="false" customHeight="false" outlineLevel="0" collapsed="false">
      <c r="A2" s="3" t="s">
        <v>82</v>
      </c>
      <c r="B2" s="3" t="s">
        <v>3</v>
      </c>
      <c r="C2" s="3" t="s">
        <v>4</v>
      </c>
      <c r="D2" s="3" t="s">
        <v>83</v>
      </c>
    </row>
    <row r="3" customFormat="false" ht="15" hidden="false" customHeight="false" outlineLevel="0" collapsed="false">
      <c r="A3" s="6" t="s">
        <v>84</v>
      </c>
      <c r="B3" s="7"/>
      <c r="C3" s="7"/>
      <c r="D3" s="7"/>
    </row>
    <row r="4" customFormat="false" ht="15" hidden="false" customHeight="false" outlineLevel="0" collapsed="false">
      <c r="A4" s="4" t="s">
        <v>85</v>
      </c>
      <c r="B4" s="8" t="n">
        <f aca="false">Input!$B$4*Input!$B$9</f>
        <v>10</v>
      </c>
      <c r="C4" s="4" t="s">
        <v>86</v>
      </c>
      <c r="D4" s="4" t="s">
        <v>87</v>
      </c>
    </row>
    <row r="5" customFormat="false" ht="15" hidden="false" customHeight="false" outlineLevel="0" collapsed="false">
      <c r="A5" s="4" t="s">
        <v>88</v>
      </c>
      <c r="B5" s="8" t="n">
        <f aca="false">B4*Input!$B$6/Input!$B$5</f>
        <v>8.75</v>
      </c>
      <c r="C5" s="4" t="s">
        <v>86</v>
      </c>
      <c r="D5" s="4" t="s">
        <v>89</v>
      </c>
    </row>
    <row r="6" customFormat="false" ht="15" hidden="false" customHeight="false" outlineLevel="0" collapsed="false">
      <c r="A6" s="4" t="s">
        <v>90</v>
      </c>
      <c r="B6" s="8" t="n">
        <f aca="false">B4*1000000/(Input!$B$5*1000)</f>
        <v>125</v>
      </c>
      <c r="C6" s="4" t="s">
        <v>91</v>
      </c>
      <c r="D6" s="4" t="s">
        <v>92</v>
      </c>
    </row>
    <row r="7" customFormat="false" ht="15" hidden="false" customHeight="false" outlineLevel="0" collapsed="false">
      <c r="A7" s="6" t="s">
        <v>93</v>
      </c>
      <c r="B7" s="7"/>
      <c r="C7" s="7"/>
      <c r="D7" s="7"/>
    </row>
    <row r="8" customFormat="false" ht="15" hidden="false" customHeight="false" outlineLevel="0" collapsed="false">
      <c r="A8" s="4" t="s">
        <v>94</v>
      </c>
      <c r="B8" s="8" t="n">
        <f aca="false">1000*0.5*Input!$B$10/Input!$B$11</f>
        <v>19.53125</v>
      </c>
      <c r="C8" s="4" t="s">
        <v>86</v>
      </c>
      <c r="D8" s="4" t="s">
        <v>95</v>
      </c>
    </row>
    <row r="9" customFormat="false" ht="15" hidden="false" customHeight="false" outlineLevel="0" collapsed="false">
      <c r="A9" s="4" t="s">
        <v>96</v>
      </c>
      <c r="B9" s="8" t="n">
        <f aca="false">B4/B8</f>
        <v>0.512</v>
      </c>
      <c r="C9" s="4" t="s">
        <v>26</v>
      </c>
      <c r="D9" s="4" t="s">
        <v>97</v>
      </c>
    </row>
    <row r="10" customFormat="false" ht="15" hidden="false" customHeight="false" outlineLevel="0" collapsed="false">
      <c r="A10" s="4" t="s">
        <v>98</v>
      </c>
      <c r="B10" s="8" t="n">
        <f aca="false">B5/B8</f>
        <v>0.448</v>
      </c>
      <c r="C10" s="4" t="s">
        <v>26</v>
      </c>
      <c r="D10" s="4"/>
    </row>
    <row r="11" customFormat="false" ht="15" hidden="false" customHeight="false" outlineLevel="0" collapsed="false">
      <c r="A11" s="4" t="s">
        <v>99</v>
      </c>
      <c r="B11" s="8" t="n">
        <f aca="false">B9*Input!$B$18/100</f>
        <v>0.6144</v>
      </c>
      <c r="C11" s="4" t="s">
        <v>26</v>
      </c>
      <c r="D11" s="4"/>
    </row>
    <row r="12" customFormat="false" ht="15" hidden="false" customHeight="false" outlineLevel="0" collapsed="false">
      <c r="A12" s="4" t="s">
        <v>100</v>
      </c>
      <c r="B12" s="8" t="n">
        <f aca="false">B9*Input!$B$19/100</f>
        <v>0.768</v>
      </c>
      <c r="C12" s="4" t="s">
        <v>26</v>
      </c>
      <c r="D12" s="4"/>
    </row>
    <row r="13" customFormat="false" ht="15" hidden="false" customHeight="false" outlineLevel="0" collapsed="false">
      <c r="A13" s="4" t="s">
        <v>101</v>
      </c>
      <c r="B13" s="8" t="str">
        <f aca="false">IF(B12&lt;1,"AMAN","SATURASI")</f>
        <v>AMAN</v>
      </c>
      <c r="C13" s="4" t="s">
        <v>26</v>
      </c>
      <c r="D13" s="4" t="s">
        <v>102</v>
      </c>
    </row>
    <row r="14" customFormat="false" ht="15" hidden="false" customHeight="false" outlineLevel="0" collapsed="false">
      <c r="A14" s="6" t="s">
        <v>103</v>
      </c>
      <c r="B14" s="7"/>
      <c r="C14" s="7"/>
      <c r="D14" s="7"/>
    </row>
    <row r="15" customFormat="false" ht="15" hidden="false" customHeight="false" outlineLevel="0" collapsed="false">
      <c r="A15" s="4" t="s">
        <v>104</v>
      </c>
      <c r="B15" s="8" t="n">
        <f aca="false">Input!$B$9/2</f>
        <v>2.5</v>
      </c>
      <c r="C15" s="4" t="s">
        <v>21</v>
      </c>
      <c r="D15" s="4" t="s">
        <v>105</v>
      </c>
    </row>
    <row r="16" customFormat="false" ht="15" hidden="false" customHeight="false" outlineLevel="0" collapsed="false">
      <c r="A16" s="4" t="s">
        <v>106</v>
      </c>
      <c r="B16" s="8" t="n">
        <f aca="false">Input!$B$16</f>
        <v>1.2</v>
      </c>
      <c r="C16" s="4" t="s">
        <v>21</v>
      </c>
      <c r="D16" s="4" t="s">
        <v>107</v>
      </c>
    </row>
    <row r="17" customFormat="false" ht="15" hidden="false" customHeight="false" outlineLevel="0" collapsed="false">
      <c r="A17" s="4" t="s">
        <v>108</v>
      </c>
      <c r="B17" s="8" t="n">
        <f aca="false">Input!$B$10-Input!$B$17</f>
        <v>3.7</v>
      </c>
      <c r="C17" s="4" t="s">
        <v>21</v>
      </c>
      <c r="D17" s="4" t="s">
        <v>109</v>
      </c>
    </row>
    <row r="18" customFormat="false" ht="15" hidden="false" customHeight="false" outlineLevel="0" collapsed="false">
      <c r="A18" s="4" t="s">
        <v>110</v>
      </c>
      <c r="B18" s="8" t="str">
        <f aca="false">IF(AND(B15&gt;=B16,B15&lt;=B17),"LULUS","CEK")</f>
        <v>LULUS</v>
      </c>
      <c r="C18" s="4" t="s">
        <v>26</v>
      </c>
      <c r="D18" s="4"/>
    </row>
    <row r="19" customFormat="false" ht="15" hidden="false" customHeight="false" outlineLevel="0" collapsed="false">
      <c r="A19" s="6" t="s">
        <v>111</v>
      </c>
      <c r="B19" s="7"/>
      <c r="C19" s="7"/>
      <c r="D19" s="7"/>
    </row>
    <row r="20" customFormat="false" ht="15" hidden="false" customHeight="false" outlineLevel="0" collapsed="false">
      <c r="A20" s="4" t="s">
        <v>112</v>
      </c>
      <c r="B20" s="9" t="n">
        <f aca="false">B9*2^(Input!$B$15-1)</f>
        <v>4294967.296</v>
      </c>
      <c r="C20" s="4" t="s">
        <v>113</v>
      </c>
      <c r="D20" s="4" t="s">
        <v>114</v>
      </c>
    </row>
    <row r="21" customFormat="false" ht="15" hidden="false" customHeight="false" outlineLevel="0" collapsed="false">
      <c r="A21" s="4" t="s">
        <v>115</v>
      </c>
      <c r="B21" s="8" t="n">
        <f aca="false">B20/(Input!$B$5*1000)</f>
        <v>53.6870912</v>
      </c>
      <c r="C21" s="4" t="s">
        <v>116</v>
      </c>
      <c r="D21" s="4" t="s">
        <v>117</v>
      </c>
    </row>
    <row r="22" customFormat="false" ht="15" hidden="false" customHeight="false" outlineLevel="0" collapsed="false">
      <c r="A22" s="4" t="s">
        <v>118</v>
      </c>
      <c r="B22" s="8" t="n">
        <f aca="false">1000/B21</f>
        <v>18.6264514923096</v>
      </c>
      <c r="C22" s="4" t="s">
        <v>119</v>
      </c>
      <c r="D22" s="4" t="s">
        <v>120</v>
      </c>
    </row>
    <row r="23" customFormat="false" ht="15" hidden="false" customHeight="false" outlineLevel="0" collapsed="false">
      <c r="A23" s="6" t="s">
        <v>121</v>
      </c>
      <c r="B23" s="7"/>
      <c r="C23" s="7"/>
      <c r="D23" s="7"/>
    </row>
    <row r="24" customFormat="false" ht="15" hidden="false" customHeight="false" outlineLevel="0" collapsed="false">
      <c r="A24" s="4" t="s">
        <v>122</v>
      </c>
      <c r="B24" s="8" t="n">
        <f aca="false">IF(Input!$B$14=80,Input!$B$13,Input!$B$12)/B6</f>
        <v>0.4</v>
      </c>
      <c r="C24" s="4" t="s">
        <v>123</v>
      </c>
      <c r="D24" s="4" t="s">
        <v>124</v>
      </c>
    </row>
    <row r="25" customFormat="false" ht="15" hidden="false" customHeight="false" outlineLevel="0" collapsed="false">
      <c r="A25" s="4" t="s">
        <v>125</v>
      </c>
      <c r="B25" s="8" t="n">
        <f aca="false">Input!$B$12/B6</f>
        <v>0.4</v>
      </c>
      <c r="C25" s="4" t="s">
        <v>123</v>
      </c>
      <c r="D25" s="4"/>
    </row>
    <row r="26" customFormat="false" ht="15" hidden="false" customHeight="false" outlineLevel="0" collapsed="false">
      <c r="A26" s="4" t="s">
        <v>126</v>
      </c>
      <c r="B26" s="8" t="n">
        <f aca="false">Input!$B$13/B6</f>
        <v>0.72</v>
      </c>
      <c r="C26" s="4" t="s">
        <v>123</v>
      </c>
      <c r="D26" s="4"/>
    </row>
    <row r="27" customFormat="false" ht="15" hidden="false" customHeight="false" outlineLevel="0" collapsed="false">
      <c r="A27" s="4" t="s">
        <v>127</v>
      </c>
      <c r="B27" s="8" t="n">
        <f aca="false">B24*B21</f>
        <v>21.47483648</v>
      </c>
      <c r="C27" s="4" t="s">
        <v>128</v>
      </c>
      <c r="D27" s="4"/>
    </row>
    <row r="28" customFormat="false" ht="15" hidden="false" customHeight="false" outlineLevel="0" collapsed="false">
      <c r="A28" s="4" t="s">
        <v>129</v>
      </c>
      <c r="B28" s="8" t="n">
        <f aca="false">6.6*B24</f>
        <v>2.64</v>
      </c>
      <c r="C28" s="4" t="s">
        <v>130</v>
      </c>
      <c r="D28" s="4"/>
    </row>
    <row r="29" customFormat="false" ht="15" hidden="false" customHeight="false" outlineLevel="0" collapsed="false">
      <c r="A29" s="4" t="s">
        <v>131</v>
      </c>
      <c r="B29" s="8" t="n">
        <f aca="false">LOG(Input!$B$6*1000/B28,2)</f>
        <v>14.6945293720233</v>
      </c>
      <c r="C29" s="4" t="s">
        <v>36</v>
      </c>
      <c r="D29" s="4" t="s">
        <v>132</v>
      </c>
    </row>
    <row r="30" customFormat="false" ht="15" hidden="false" customHeight="false" outlineLevel="0" collapsed="false">
      <c r="A30" s="6" t="s">
        <v>133</v>
      </c>
      <c r="B30" s="7"/>
      <c r="C30" s="7"/>
      <c r="D30" s="7"/>
    </row>
    <row r="31" customFormat="false" ht="15" hidden="false" customHeight="false" outlineLevel="0" collapsed="false">
      <c r="A31" s="4" t="s">
        <v>134</v>
      </c>
      <c r="B31" s="10" t="n">
        <f aca="false">1000/Input!$B$14</f>
        <v>100</v>
      </c>
      <c r="C31" s="4" t="s">
        <v>135</v>
      </c>
      <c r="D31" s="4"/>
    </row>
    <row r="32" customFormat="false" ht="15" hidden="false" customHeight="false" outlineLevel="0" collapsed="false">
      <c r="A32" s="4" t="s">
        <v>136</v>
      </c>
      <c r="B32" s="11" t="n">
        <f aca="false">Input!$B$14*Input!$B$29</f>
        <v>40</v>
      </c>
      <c r="C32" s="4" t="s">
        <v>79</v>
      </c>
      <c r="D32" s="4"/>
    </row>
    <row r="33" customFormat="false" ht="15" hidden="false" customHeight="false" outlineLevel="0" collapsed="false">
      <c r="A33" s="4" t="s">
        <v>137</v>
      </c>
      <c r="B33" s="11" t="n">
        <f aca="false">Input!$B$32*B31</f>
        <v>400</v>
      </c>
      <c r="C33" s="4" t="s">
        <v>135</v>
      </c>
      <c r="D33" s="4"/>
    </row>
    <row r="34" customFormat="false" ht="15" hidden="false" customHeight="false" outlineLevel="0" collapsed="false">
      <c r="A34" s="4" t="s">
        <v>138</v>
      </c>
      <c r="B34" s="8" t="n">
        <f aca="false">B24/SQRT(Input!$B$14)</f>
        <v>0.126491106406735</v>
      </c>
      <c r="C34" s="4" t="s">
        <v>123</v>
      </c>
      <c r="D34" s="4" t="s">
        <v>139</v>
      </c>
    </row>
    <row r="35" customFormat="false" ht="15" hidden="false" customHeight="false" outlineLevel="0" collapsed="false">
      <c r="A35" s="4" t="s">
        <v>140</v>
      </c>
      <c r="B35" s="8" t="n">
        <f aca="false">B24/SQRT(B32)</f>
        <v>0.0632455532033676</v>
      </c>
      <c r="C35" s="4" t="s">
        <v>123</v>
      </c>
      <c r="D35" s="4"/>
    </row>
    <row r="36" customFormat="false" ht="15" hidden="false" customHeight="false" outlineLevel="0" collapsed="false">
      <c r="A36" s="6" t="s">
        <v>141</v>
      </c>
      <c r="B36" s="7"/>
      <c r="C36" s="7"/>
      <c r="D36" s="7"/>
    </row>
    <row r="37" customFormat="false" ht="15" hidden="false" customHeight="false" outlineLevel="0" collapsed="false">
      <c r="A37" s="4" t="s">
        <v>142</v>
      </c>
      <c r="B37" s="8" t="n">
        <f aca="false">Input!$B$6/Input!$B$5</f>
        <v>0.875</v>
      </c>
      <c r="C37" s="4" t="s">
        <v>26</v>
      </c>
      <c r="D37" s="4"/>
    </row>
    <row r="38" customFormat="false" ht="15" hidden="false" customHeight="false" outlineLevel="0" collapsed="false">
      <c r="A38" s="4" t="s">
        <v>143</v>
      </c>
      <c r="B38" s="8" t="n">
        <f aca="false">Input!$B$5*Input!$B$18/100</f>
        <v>96</v>
      </c>
      <c r="C38" s="4" t="s">
        <v>13</v>
      </c>
      <c r="D38" s="4" t="s">
        <v>144</v>
      </c>
    </row>
    <row r="39" customFormat="false" ht="15" hidden="false" customHeight="false" outlineLevel="0" collapsed="false">
      <c r="A39" s="4" t="s">
        <v>145</v>
      </c>
      <c r="B39" s="8" t="n">
        <f aca="false">B38/Input!$B$6</f>
        <v>1.37142857142857</v>
      </c>
      <c r="C39" s="4" t="s">
        <v>146</v>
      </c>
      <c r="D39" s="4"/>
    </row>
    <row r="40" customFormat="false" ht="15" hidden="false" customHeight="false" outlineLevel="0" collapsed="false">
      <c r="A40" s="4" t="s">
        <v>147</v>
      </c>
      <c r="B40" s="8" t="n">
        <f aca="false">Input!$B$5*Input!$B$19/100</f>
        <v>120</v>
      </c>
      <c r="C40" s="4" t="s">
        <v>13</v>
      </c>
      <c r="D40" s="4"/>
    </row>
    <row r="41" customFormat="false" ht="15" hidden="false" customHeight="false" outlineLevel="0" collapsed="false">
      <c r="A41" s="4" t="s">
        <v>148</v>
      </c>
      <c r="B41" s="8" t="n">
        <f aca="false">Input!$B$6*Input!$B$28</f>
        <v>686.4655</v>
      </c>
      <c r="C41" s="4" t="s">
        <v>149</v>
      </c>
      <c r="D41" s="4" t="s">
        <v>150</v>
      </c>
    </row>
    <row r="42" customFormat="false" ht="15" hidden="false" customHeight="false" outlineLevel="0" collapsed="false">
      <c r="A42" s="6" t="s">
        <v>151</v>
      </c>
      <c r="B42" s="7"/>
      <c r="C42" s="7"/>
      <c r="D42" s="7"/>
    </row>
    <row r="43" customFormat="false" ht="15" hidden="false" customHeight="false" outlineLevel="0" collapsed="false">
      <c r="A43" s="4" t="s">
        <v>152</v>
      </c>
      <c r="B43" s="8" t="n">
        <f aca="false">Input!$B$9/Input!$B$8*1000</f>
        <v>12.5</v>
      </c>
      <c r="C43" s="4" t="s">
        <v>65</v>
      </c>
      <c r="D43" s="4" t="s">
        <v>153</v>
      </c>
    </row>
    <row r="44" customFormat="false" ht="15" hidden="false" customHeight="false" outlineLevel="0" collapsed="false">
      <c r="A44" s="4" t="s">
        <v>154</v>
      </c>
      <c r="B44" s="8" t="n">
        <f aca="false">B43+Input!$B$27</f>
        <v>14</v>
      </c>
      <c r="C44" s="4" t="s">
        <v>65</v>
      </c>
      <c r="D44" s="4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156</v>
      </c>
    </row>
    <row r="2" customFormat="false" ht="39.75" hidden="false" customHeight="true" outlineLevel="0" collapsed="false">
      <c r="A2" s="2" t="s">
        <v>157</v>
      </c>
      <c r="B2" s="2"/>
      <c r="C2" s="2"/>
      <c r="D2" s="2"/>
      <c r="E2" s="2"/>
    </row>
    <row r="3" customFormat="false" ht="15" hidden="false" customHeight="false" outlineLevel="0" collapsed="false">
      <c r="A3" s="3" t="s">
        <v>158</v>
      </c>
      <c r="B3" s="3" t="s">
        <v>159</v>
      </c>
      <c r="C3" s="3" t="s">
        <v>160</v>
      </c>
      <c r="D3" s="3" t="s">
        <v>161</v>
      </c>
    </row>
    <row r="4" customFormat="false" ht="15" hidden="false" customHeight="false" outlineLevel="0" collapsed="false">
      <c r="A4" s="12" t="n">
        <v>0</v>
      </c>
      <c r="B4" s="12" t="n">
        <v>120040</v>
      </c>
      <c r="C4" s="13" t="n">
        <f aca="false">($B4-$G$7)*$G$6/1000</f>
        <v>-0.000794647593831797</v>
      </c>
      <c r="D4" s="14" t="n">
        <f aca="false">(C4-A4)*1000</f>
        <v>-0.794647593831797</v>
      </c>
      <c r="F4" s="15" t="s">
        <v>162</v>
      </c>
      <c r="G4" s="15" t="s">
        <v>3</v>
      </c>
      <c r="H4" s="15" t="s">
        <v>4</v>
      </c>
    </row>
    <row r="5" customFormat="false" ht="15" hidden="false" customHeight="false" outlineLevel="0" collapsed="false">
      <c r="A5" s="12" t="n">
        <v>5</v>
      </c>
      <c r="B5" s="12" t="n">
        <v>388520</v>
      </c>
      <c r="C5" s="13" t="n">
        <f aca="false">($B5-$G$7)*$G$6/1000</f>
        <v>5.00013406605483</v>
      </c>
      <c r="D5" s="14" t="n">
        <f aca="false">(C5-A5)*1000</f>
        <v>0.134066054830129</v>
      </c>
      <c r="F5" s="16" t="s">
        <v>163</v>
      </c>
      <c r="G5" s="17" t="n">
        <f aca="false">SLOPE($A$4:$A$9,$B$4:$B$9)</f>
        <v>1.8626820298155E-005</v>
      </c>
      <c r="H5" s="16" t="s">
        <v>164</v>
      </c>
    </row>
    <row r="6" customFormat="false" ht="15" hidden="false" customHeight="false" outlineLevel="0" collapsed="false">
      <c r="A6" s="12" t="n">
        <v>10</v>
      </c>
      <c r="B6" s="12" t="n">
        <v>657010</v>
      </c>
      <c r="C6" s="13" t="n">
        <f aca="false">($B6-$G$7)*$G$6/1000</f>
        <v>10.0012490479065</v>
      </c>
      <c r="D6" s="14" t="n">
        <f aca="false">(C6-A6)*1000</f>
        <v>1.24904790647484</v>
      </c>
      <c r="F6" s="16" t="s">
        <v>165</v>
      </c>
      <c r="G6" s="18" t="n">
        <f aca="false">G5*1000</f>
        <v>0.018626820298155</v>
      </c>
      <c r="H6" s="16" t="s">
        <v>166</v>
      </c>
    </row>
    <row r="7" customFormat="false" ht="15" hidden="false" customHeight="false" outlineLevel="0" collapsed="false">
      <c r="A7" s="12" t="n">
        <v>15</v>
      </c>
      <c r="B7" s="12" t="n">
        <v>925350</v>
      </c>
      <c r="C7" s="13" t="n">
        <f aca="false">($B7-$G$7)*$G$6/1000</f>
        <v>14.9995700067134</v>
      </c>
      <c r="D7" s="14" t="n">
        <f aca="false">(C7-A7)*1000</f>
        <v>-0.4299932866072</v>
      </c>
      <c r="F7" s="16" t="s">
        <v>167</v>
      </c>
      <c r="G7" s="19" t="n">
        <f aca="false">-INTERCEPT($A$4:$A$9,$B$4:$B$9)/SLOPE($A$4:$A$9,$B$4:$B$9)</f>
        <v>120082.66147314</v>
      </c>
      <c r="H7" s="16" t="s">
        <v>113</v>
      </c>
    </row>
    <row r="8" customFormat="false" ht="15" hidden="false" customHeight="false" outlineLevel="0" collapsed="false">
      <c r="A8" s="12" t="n">
        <v>20</v>
      </c>
      <c r="B8" s="12" t="n">
        <v>1193890</v>
      </c>
      <c r="C8" s="13" t="n">
        <f aca="false">($B8-$G$7)*$G$6/1000</f>
        <v>20.0016163295799</v>
      </c>
      <c r="D8" s="14" t="n">
        <f aca="false">(C8-A8)*1000</f>
        <v>1.61632957994584</v>
      </c>
      <c r="F8" s="16" t="s">
        <v>168</v>
      </c>
      <c r="G8" s="20" t="n">
        <f aca="false">RSQ($A$4:$A$9,$B$4:$B$9)</f>
        <v>0.999999977954326</v>
      </c>
      <c r="H8" s="16" t="s">
        <v>26</v>
      </c>
    </row>
    <row r="9" customFormat="false" ht="15" hidden="false" customHeight="false" outlineLevel="0" collapsed="false">
      <c r="A9" s="12" t="n">
        <v>22</v>
      </c>
      <c r="B9" s="12" t="n">
        <v>1301080</v>
      </c>
      <c r="C9" s="13" t="n">
        <f aca="false">($B9-$G$7)*$G$6/1000</f>
        <v>21.9982251973392</v>
      </c>
      <c r="D9" s="14" t="n">
        <f aca="false">(C9-A9)*1000</f>
        <v>-1.77480266081531</v>
      </c>
      <c r="F9" s="16" t="s">
        <v>169</v>
      </c>
      <c r="G9" s="14" t="n">
        <f aca="false">STEYX($A$4:$A$9,$B$4:$B$9)*1000</f>
        <v>1.42801428428969</v>
      </c>
      <c r="H9" s="16" t="s">
        <v>130</v>
      </c>
    </row>
    <row r="10" customFormat="false" ht="15" hidden="false" customHeight="false" outlineLevel="0" collapsed="false">
      <c r="F10" s="16" t="s">
        <v>170</v>
      </c>
      <c r="G10" s="17" t="n">
        <f aca="false">INDEX(LINEST($A$4:$A$9,$B$4:$B$9,TRUE(),TRUE()),2,1)/SLOPE($A$4:$A$9,$B$4:$B$9)</f>
        <v>7.42389284688662E-005</v>
      </c>
      <c r="H10" s="16" t="s">
        <v>26</v>
      </c>
    </row>
    <row r="11" customFormat="false" ht="15" hidden="false" customHeight="false" outlineLevel="0" collapsed="false">
      <c r="F11" s="16" t="s">
        <v>171</v>
      </c>
      <c r="G11" s="21" t="n">
        <f aca="false">1/(G6)</f>
        <v>53.6860282105717</v>
      </c>
      <c r="H11" s="16" t="s">
        <v>116</v>
      </c>
    </row>
    <row r="12" customFormat="false" ht="15" hidden="false" customHeight="false" outlineLevel="0" collapsed="false">
      <c r="F12" s="16" t="s">
        <v>172</v>
      </c>
      <c r="G12" s="22" t="n">
        <f aca="false">G11/Hitung!B21-1</f>
        <v>-1.97997210233947E-005</v>
      </c>
      <c r="H12" s="16" t="s">
        <v>26</v>
      </c>
    </row>
    <row r="14" customFormat="false" ht="30" hidden="false" customHeight="true" outlineLevel="0" collapsed="false">
      <c r="A14" s="2" t="s">
        <v>173</v>
      </c>
      <c r="B14" s="2"/>
      <c r="C14" s="2"/>
      <c r="D14" s="2"/>
      <c r="E14" s="2"/>
      <c r="F14" s="2"/>
      <c r="G14" s="2"/>
      <c r="H14" s="2"/>
    </row>
  </sheetData>
  <mergeCells count="2">
    <mergeCell ref="A2:E2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3" t="s">
        <v>175</v>
      </c>
    </row>
    <row r="3" customFormat="false" ht="15" hidden="false" customHeight="false" outlineLevel="0" collapsed="false">
      <c r="A3" s="3" t="s">
        <v>176</v>
      </c>
      <c r="B3" s="3" t="s">
        <v>177</v>
      </c>
      <c r="C3" s="3" t="s">
        <v>178</v>
      </c>
      <c r="D3" s="3" t="s">
        <v>179</v>
      </c>
      <c r="E3" s="3" t="s">
        <v>180</v>
      </c>
    </row>
    <row r="4" customFormat="false" ht="15" hidden="false" customHeight="false" outlineLevel="0" collapsed="false">
      <c r="A4" s="4" t="s">
        <v>181</v>
      </c>
      <c r="B4" s="24" t="n">
        <f aca="false">Input!$B$5*1000*Input!$B$20/100</f>
        <v>24</v>
      </c>
      <c r="C4" s="5" t="n">
        <v>1</v>
      </c>
      <c r="D4" s="4" t="s">
        <v>26</v>
      </c>
      <c r="E4" s="4" t="s">
        <v>182</v>
      </c>
    </row>
    <row r="5" customFormat="false" ht="15" hidden="false" customHeight="false" outlineLevel="0" collapsed="false">
      <c r="A5" s="4" t="s">
        <v>53</v>
      </c>
      <c r="B5" s="24" t="n">
        <f aca="false">Input!$B$5*1000*Input!$B$22/100</f>
        <v>800</v>
      </c>
      <c r="C5" s="5" t="n">
        <v>0</v>
      </c>
      <c r="D5" s="4" t="s">
        <v>183</v>
      </c>
      <c r="E5" s="4" t="s">
        <v>184</v>
      </c>
    </row>
    <row r="6" customFormat="false" ht="15" hidden="false" customHeight="false" outlineLevel="0" collapsed="false">
      <c r="A6" s="4" t="s">
        <v>55</v>
      </c>
      <c r="B6" s="24" t="n">
        <f aca="false">Input!$B$5*1000*Input!$B$23/Input!$B$4</f>
        <v>6000</v>
      </c>
      <c r="C6" s="5" t="n">
        <v>0</v>
      </c>
      <c r="D6" s="4" t="s">
        <v>185</v>
      </c>
      <c r="E6" s="4" t="s">
        <v>186</v>
      </c>
    </row>
    <row r="7" customFormat="false" ht="15" hidden="false" customHeight="false" outlineLevel="0" collapsed="false">
      <c r="A7" s="4" t="s">
        <v>187</v>
      </c>
      <c r="B7" s="24" t="n">
        <f aca="false">Input!$B$5*1000*Input!$B$24/100*Input!$B$25/10</f>
        <v>24</v>
      </c>
      <c r="C7" s="5" t="n">
        <v>1</v>
      </c>
      <c r="D7" s="4" t="s">
        <v>26</v>
      </c>
      <c r="E7" s="4" t="s">
        <v>188</v>
      </c>
    </row>
    <row r="8" customFormat="false" ht="15" hidden="false" customHeight="false" outlineLevel="0" collapsed="false">
      <c r="A8" s="4" t="s">
        <v>62</v>
      </c>
      <c r="B8" s="24" t="n">
        <f aca="false">Input!$B$26*Input!$B$25/Hitung!B6</f>
        <v>0.48</v>
      </c>
      <c r="C8" s="5" t="n">
        <v>1</v>
      </c>
      <c r="D8" s="4" t="s">
        <v>26</v>
      </c>
      <c r="E8" s="4" t="s">
        <v>189</v>
      </c>
    </row>
    <row r="9" customFormat="false" ht="15" hidden="false" customHeight="false" outlineLevel="0" collapsed="false">
      <c r="A9" s="4" t="s">
        <v>190</v>
      </c>
      <c r="B9" s="24" t="n">
        <f aca="false">Hitung!B24</f>
        <v>0.4</v>
      </c>
      <c r="C9" s="5" t="n">
        <v>1</v>
      </c>
      <c r="D9" s="4" t="s">
        <v>26</v>
      </c>
      <c r="E9" s="4" t="s">
        <v>191</v>
      </c>
    </row>
    <row r="10" customFormat="false" ht="15" hidden="false" customHeight="false" outlineLevel="0" collapsed="false">
      <c r="A10" s="4" t="s">
        <v>192</v>
      </c>
      <c r="B10" s="24" t="n">
        <f aca="false">Input!$B$5*1000*Input!$B$21/100</f>
        <v>20</v>
      </c>
      <c r="C10" s="5" t="n">
        <v>0</v>
      </c>
      <c r="D10" s="4" t="s">
        <v>193</v>
      </c>
      <c r="E10" s="4" t="s">
        <v>194</v>
      </c>
    </row>
    <row r="11" customFormat="false" ht="15" hidden="false" customHeight="false" outlineLevel="0" collapsed="false">
      <c r="A11" s="4" t="s">
        <v>195</v>
      </c>
      <c r="B11" s="24" t="n">
        <f aca="false">Input!$B$30*(1-COS(RADIANS(Input!$B$31)))*1000</f>
        <v>140</v>
      </c>
      <c r="C11" s="5" t="n">
        <v>0</v>
      </c>
      <c r="D11" s="4" t="s">
        <v>196</v>
      </c>
      <c r="E11" s="4" t="s">
        <v>197</v>
      </c>
    </row>
    <row r="13" customFormat="false" ht="15" hidden="false" customHeight="false" outlineLevel="0" collapsed="false">
      <c r="A13" s="25" t="s">
        <v>198</v>
      </c>
      <c r="B13" s="24" t="n">
        <f aca="false">SQRT(SUMPRODUCT(C4:C11,B4:B11^2))</f>
        <v>33.9468761449415</v>
      </c>
      <c r="C13" s="4"/>
      <c r="D13" s="4"/>
      <c r="E13" s="4" t="s">
        <v>199</v>
      </c>
    </row>
    <row r="14" customFormat="false" ht="15" hidden="false" customHeight="false" outlineLevel="0" collapsed="false">
      <c r="A14" s="4" t="s">
        <v>200</v>
      </c>
      <c r="B14" s="26" t="n">
        <f aca="false">B13/(Input!$B$5*1000)</f>
        <v>0.000424335951811769</v>
      </c>
      <c r="C14" s="4"/>
      <c r="D14" s="4"/>
      <c r="E14" s="4"/>
    </row>
    <row r="15" customFormat="false" ht="15" hidden="false" customHeight="false" outlineLevel="0" collapsed="false">
      <c r="A15" s="4" t="s">
        <v>201</v>
      </c>
      <c r="B15" s="27" t="n">
        <f aca="false">B13/(Input!$B$7*1000)</f>
        <v>0.00113156253816472</v>
      </c>
      <c r="C15" s="4"/>
      <c r="D15" s="4"/>
      <c r="E15" s="4" t="s">
        <v>202</v>
      </c>
    </row>
    <row r="16" customFormat="false" ht="23.85" hidden="false" customHeight="false" outlineLevel="0" collapsed="false">
      <c r="A16" s="4" t="s">
        <v>203</v>
      </c>
      <c r="B16" s="27" t="n">
        <f aca="false">B13/(Input!$B$6*1000)</f>
        <v>0.000484955373499165</v>
      </c>
      <c r="C16" s="4"/>
      <c r="D16" s="4"/>
      <c r="E16" s="4"/>
    </row>
    <row r="18" customFormat="false" ht="15" hidden="false" customHeight="false" outlineLevel="0" collapsed="false">
      <c r="A18" s="23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2026-10-08T01:56:29Z</dcterms:created>
  <dc:creator>openpyxl</dc:creator>
  <dc:description/>
  <dc:language>en-US</dc:language>
  <cp:lastModifiedBy/>
  <dcterms:modified xsi:type="dcterms:W3CDTF">2026-10-08T01:56:29Z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