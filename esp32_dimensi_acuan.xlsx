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ber" sheetId="1" state="visible" r:id="rId1"/>
    <sheet xmlns:r="http://schemas.openxmlformats.org/officeDocument/2006/relationships" name="Badan modul" sheetId="2" state="visible" r:id="rId2"/>
    <sheet xmlns:r="http://schemas.openxmlformats.org/officeDocument/2006/relationships" name="Pad keliling" sheetId="3" state="visible" r:id="rId3"/>
    <sheet xmlns:r="http://schemas.openxmlformats.org/officeDocument/2006/relationships" name="DevKit V1 (ukur)" sheetId="4" state="visible" r:id="rId4"/>
    <sheet xmlns:r="http://schemas.openxmlformats.org/officeDocument/2006/relationships" name="Belum diketahu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48" customWidth="1" min="3" max="3"/>
    <col width="16" customWidth="1" min="4" max="4"/>
  </cols>
  <sheetData>
    <row r="1">
      <c r="A1" s="1" t="inlineStr">
        <is>
          <t>Kode</t>
        </is>
      </c>
      <c r="B1" s="1" t="inlineStr">
        <is>
          <t>Sumber</t>
        </is>
      </c>
      <c r="C1" s="1" t="inlineStr">
        <is>
          <t>Dipakai untuk</t>
        </is>
      </c>
      <c r="D1" s="1" t="inlineStr">
        <is>
          <t>Tingkat</t>
        </is>
      </c>
    </row>
    <row r="2">
      <c r="A2" s="2" t="inlineStr">
        <is>
          <t>A</t>
        </is>
      </c>
      <c r="B2" s="2" t="inlineStr">
        <is>
          <t>Espressif, ESP32-WROOM-32D &amp; ESP32-WROOM-32U Datasheet v2.8, Bab 9.1 (Gambar 8, hlm. 36) dan Bab 10.1 (Gambar 11, hlm. 40)</t>
        </is>
      </c>
      <c r="C2" s="2" t="inlineStr">
        <is>
          <t>Dimensi modul dan pola pad (land pattern)</t>
        </is>
      </c>
      <c r="D2" s="2" t="inlineStr">
        <is>
          <t>Pabrikan</t>
        </is>
      </c>
    </row>
    <row r="3">
      <c r="A3" s="2" t="inlineStr">
        <is>
          <t>B</t>
        </is>
      </c>
      <c r="B3" s="2" t="inlineStr">
        <is>
          <t>Espressif, ESP-Dev-Kits Documentation, bab ESP32-DevKitC V4</t>
        </is>
      </c>
      <c r="C3" s="2" t="inlineStr">
        <is>
          <t>Hanya menautkan gambar dimensi DevKitC V4; papan itu bukan DevKit V1</t>
        </is>
      </c>
      <c r="D3" s="2" t="inlineStr">
        <is>
          <t>Tidak berlaku</t>
        </is>
      </c>
    </row>
    <row r="4">
      <c r="A4" s="2" t="inlineStr">
        <is>
          <t>C</t>
        </is>
      </c>
      <c r="B4" s="2" t="inlineStr">
        <is>
          <t>Pinout DOIT DevKit V1 (mischianti)</t>
        </is>
      </c>
      <c r="C4" s="2" t="inlineStr">
        <is>
          <t>Fungsi pin; tidak memuat dimensi mm</t>
        </is>
      </c>
      <c r="D4" s="2" t="inlineStr">
        <is>
          <t>Tidak berlaku</t>
        </is>
      </c>
    </row>
    <row r="5">
      <c r="A5" s="2" t="inlineStr">
        <is>
          <t>-</t>
        </is>
      </c>
      <c r="B5" s="2" t="inlineStr">
        <is>
          <t>Catatan: status datasheet modul NRND (Not Recommended For New Designs); dimensi tidak berubah. Satuan semua angka: mm.</t>
        </is>
      </c>
      <c r="C5" s="2" t="inlineStr"/>
      <c r="D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3" customWidth="1" min="4" max="4"/>
    <col width="13" customWidth="1" min="5" max="5"/>
    <col width="60" customWidth="1" min="6" max="6"/>
  </cols>
  <sheetData>
    <row r="1">
      <c r="A1" s="1" t="inlineStr">
        <is>
          <t>Item</t>
        </is>
      </c>
      <c r="B1" s="1" t="inlineStr">
        <is>
          <t>Nilai (mm)</t>
        </is>
      </c>
      <c r="C1" s="1" t="inlineStr">
        <is>
          <t>Toleransi (mm)</t>
        </is>
      </c>
      <c r="D1" s="1" t="inlineStr">
        <is>
          <t>Batas bawah</t>
        </is>
      </c>
      <c r="E1" s="1" t="inlineStr">
        <is>
          <t>Batas atas</t>
        </is>
      </c>
      <c r="F1" s="1" t="inlineStr">
        <is>
          <t>Catatan</t>
        </is>
      </c>
    </row>
    <row r="2">
      <c r="A2" s="2" t="inlineStr">
        <is>
          <t>Lebar</t>
        </is>
      </c>
      <c r="B2" s="2" t="n">
        <v>18</v>
      </c>
      <c r="C2" s="2" t="n">
        <v>0.15</v>
      </c>
      <c r="D2" s="2">
        <f>B2-C2</f>
        <v/>
      </c>
      <c r="E2" s="2">
        <f>B2+C2</f>
        <v/>
      </c>
      <c r="F2" s="2" t="inlineStr">
        <is>
          <t>Gambar 8</t>
        </is>
      </c>
    </row>
    <row r="3">
      <c r="A3" s="2" t="inlineStr">
        <is>
          <t>Panjang</t>
        </is>
      </c>
      <c r="B3" s="2" t="n">
        <v>25.5</v>
      </c>
      <c r="C3" s="2" t="n">
        <v>0.15</v>
      </c>
      <c r="D3" s="2">
        <f>B3-C3</f>
        <v/>
      </c>
      <c r="E3" s="2">
        <f>B3+C3</f>
        <v/>
      </c>
      <c r="F3" s="2" t="inlineStr">
        <is>
          <t>Gambar 8</t>
        </is>
      </c>
    </row>
    <row r="4">
      <c r="A4" s="2" t="inlineStr">
        <is>
          <t>Tebal total</t>
        </is>
      </c>
      <c r="B4" s="2" t="n">
        <v>3.1</v>
      </c>
      <c r="C4" s="2" t="n">
        <v>0.15</v>
      </c>
      <c r="D4" s="2">
        <f>B4-C4</f>
        <v/>
      </c>
      <c r="E4" s="2">
        <f>B4+C4</f>
        <v/>
      </c>
      <c r="F4" s="2" t="inlineStr">
        <is>
          <t>Gambar sisi</t>
        </is>
      </c>
    </row>
    <row r="5">
      <c r="A5" s="2" t="inlineStr">
        <is>
          <t>Area antena PCB, lebar</t>
        </is>
      </c>
      <c r="B5" s="2" t="n">
        <v>18</v>
      </c>
      <c r="C5" s="2" t="inlineStr"/>
      <c r="D5" s="2" t="inlineStr"/>
      <c r="E5" s="2" t="inlineStr"/>
      <c r="F5" s="2" t="inlineStr">
        <is>
          <t>Ujung atas modul; tanpa tembaga, komponen, atau logam di bawah dan di sekitarnya</t>
        </is>
      </c>
    </row>
    <row r="6">
      <c r="A6" s="2" t="inlineStr">
        <is>
          <t>Area antena PCB, panjang</t>
        </is>
      </c>
      <c r="B6" s="2" t="n">
        <v>6.19</v>
      </c>
      <c r="C6" s="2" t="inlineStr"/>
      <c r="D6" s="2" t="inlineStr"/>
      <c r="E6" s="2" t="inlineStr"/>
      <c r="F6" s="2" t="inlineStr">
        <is>
          <t>Gambar 8 dan 11</t>
        </is>
      </c>
    </row>
    <row r="7">
      <c r="A7" s="2" t="inlineStr">
        <is>
          <t>Pelindung logam, lebar</t>
        </is>
      </c>
      <c r="B7" s="2" t="n">
        <v>15.8</v>
      </c>
      <c r="C7" s="2" t="inlineStr"/>
      <c r="D7" s="2" t="inlineStr"/>
      <c r="E7" s="2" t="inlineStr"/>
      <c r="F7" s="2" t="inlineStr">
        <is>
          <t>Gambar 8, tampak atas</t>
        </is>
      </c>
    </row>
    <row r="8">
      <c r="A8" s="2" t="inlineStr">
        <is>
          <t>Pelindung logam, panjang</t>
        </is>
      </c>
      <c r="B8" s="2" t="n">
        <v>17.6</v>
      </c>
      <c r="C8" s="2" t="inlineStr"/>
      <c r="D8" s="2" t="inlineStr"/>
      <c r="E8" s="2" t="inlineStr"/>
      <c r="F8" s="2" t="inlineStr">
        <is>
          <t>Gambar 8, tampak atas</t>
        </is>
      </c>
    </row>
    <row r="9">
      <c r="A9" s="2" t="inlineStr">
        <is>
          <t>Pad ground tengah (sisi)</t>
        </is>
      </c>
      <c r="B9" s="2" t="n">
        <v>3.6</v>
      </c>
      <c r="C9" s="2" t="inlineStr"/>
      <c r="D9" s="2" t="inlineStr"/>
      <c r="E9" s="2" t="inlineStr"/>
      <c r="F9" s="2" t="inlineStr">
        <is>
          <t>Gambar 8, tampak bawah; 10,50 dari tepi kiri, 10,29 dari tepi bawah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0" customWidth="1" min="3" max="3"/>
    <col width="70" customWidth="1" min="4" max="4"/>
  </cols>
  <sheetData>
    <row r="1">
      <c r="A1" s="1" t="inlineStr">
        <is>
          <t>Item</t>
        </is>
      </c>
      <c r="B1" s="1" t="inlineStr">
        <is>
          <t>Nilai</t>
        </is>
      </c>
      <c r="C1" s="1" t="inlineStr">
        <is>
          <t>Satuan</t>
        </is>
      </c>
      <c r="D1" s="1" t="inlineStr">
        <is>
          <t>Catatan</t>
        </is>
      </c>
    </row>
    <row r="2">
      <c r="A2" s="2" t="inlineStr">
        <is>
          <t>Jumlah pad</t>
        </is>
      </c>
      <c r="B2" s="2" t="n">
        <v>38</v>
      </c>
      <c r="C2" s="2" t="inlineStr">
        <is>
          <t>buah</t>
        </is>
      </c>
      <c r="D2" s="2" t="inlineStr">
        <is>
          <t>Pin 1-14 kiri, 15-24 bawah, 25-38 kanan; pin 1 di kiri atas dekat antena</t>
        </is>
      </c>
    </row>
    <row r="3">
      <c r="A3" s="2" t="inlineStr">
        <is>
          <t>Pitch</t>
        </is>
      </c>
      <c r="B3" s="2" t="n">
        <v>1.27</v>
      </c>
      <c r="C3" s="2" t="inlineStr">
        <is>
          <t>mm</t>
        </is>
      </c>
      <c r="D3" s="2" t="inlineStr">
        <is>
          <t>Gambar 11</t>
        </is>
      </c>
    </row>
    <row r="4">
      <c r="A4" s="2" t="inlineStr">
        <is>
          <t>Panjang pad (pola PCB)</t>
        </is>
      </c>
      <c r="B4" s="2" t="n">
        <v>1.5</v>
      </c>
      <c r="C4" s="2" t="inlineStr">
        <is>
          <t>mm</t>
        </is>
      </c>
      <c r="D4" s="2" t="inlineStr">
        <is>
          <t>"38x1,50" pada Gambar 11</t>
        </is>
      </c>
    </row>
    <row r="5">
      <c r="A5" s="2" t="inlineStr">
        <is>
          <t>Lebar pad (pola PCB)</t>
        </is>
      </c>
      <c r="B5" s="2" t="n">
        <v>0.9</v>
      </c>
      <c r="C5" s="2" t="inlineStr">
        <is>
          <t>mm</t>
        </is>
      </c>
      <c r="D5" s="2" t="inlineStr">
        <is>
          <t>"38x0,90" pada Gambar 11</t>
        </is>
      </c>
    </row>
    <row r="6">
      <c r="A6" s="2" t="inlineStr">
        <is>
          <t>Rentang pin 1-14, pusat ke pusat (hitungan)</t>
        </is>
      </c>
      <c r="B6" s="2">
        <f>13*B3</f>
        <v/>
      </c>
      <c r="C6" s="2" t="inlineStr">
        <is>
          <t>mm</t>
        </is>
      </c>
      <c r="D6" s="2" t="inlineStr">
        <is>
          <t>13 x pitch; harus sama dengan 16,51 pada gambar</t>
        </is>
      </c>
    </row>
    <row r="7">
      <c r="A7" s="2" t="inlineStr">
        <is>
          <t>Rentang pin 1-14 pada gambar</t>
        </is>
      </c>
      <c r="B7" s="2" t="n">
        <v>16.51</v>
      </c>
      <c r="C7" s="2" t="inlineStr">
        <is>
          <t>mm</t>
        </is>
      </c>
      <c r="D7" s="2" t="inlineStr">
        <is>
          <t>Gambar 11</t>
        </is>
      </c>
    </row>
    <row r="8">
      <c r="A8" s="2" t="inlineStr">
        <is>
          <t>Selisih hitungan - gambar</t>
        </is>
      </c>
      <c r="B8" s="2">
        <f>B6-B7</f>
        <v/>
      </c>
      <c r="C8" s="2" t="inlineStr">
        <is>
          <t>mm</t>
        </is>
      </c>
      <c r="D8" s="2" t="inlineStr">
        <is>
          <t>Harus 0</t>
        </is>
      </c>
    </row>
    <row r="9">
      <c r="A9" s="2" t="inlineStr">
        <is>
          <t>Rentang pin 15-24, pusat ke pusat (hitungan)</t>
        </is>
      </c>
      <c r="B9" s="2">
        <f>9*B3</f>
        <v/>
      </c>
      <c r="C9" s="2" t="inlineStr">
        <is>
          <t>mm</t>
        </is>
      </c>
      <c r="D9" s="2" t="inlineStr">
        <is>
          <t>9 x pitch; harus sama dengan 11,43</t>
        </is>
      </c>
    </row>
    <row r="10">
      <c r="A10" s="2" t="inlineStr">
        <is>
          <t>Rentang pin 15-24 pada gambar</t>
        </is>
      </c>
      <c r="B10" s="2" t="n">
        <v>11.43</v>
      </c>
      <c r="C10" s="2" t="inlineStr">
        <is>
          <t>mm</t>
        </is>
      </c>
      <c r="D10" s="2" t="inlineStr">
        <is>
          <t>Gambar 11</t>
        </is>
      </c>
    </row>
    <row r="11">
      <c r="A11" s="2" t="inlineStr">
        <is>
          <t>Selisih hitungan - gambar</t>
        </is>
      </c>
      <c r="B11" s="2">
        <f>B9-B10</f>
        <v/>
      </c>
      <c r="C11" s="2" t="inlineStr">
        <is>
          <t>mm</t>
        </is>
      </c>
      <c r="D11" s="2" t="inlineStr">
        <is>
          <t>Harus 0 (kecil karena pembulatan)</t>
        </is>
      </c>
    </row>
    <row r="12">
      <c r="A12" s="2" t="inlineStr">
        <is>
          <t>Kisi via pad ground</t>
        </is>
      </c>
      <c r="B12" s="2" t="inlineStr">
        <is>
          <t>3 x 3</t>
        </is>
      </c>
      <c r="C12" s="2" t="inlineStr">
        <is>
          <t>via</t>
        </is>
      </c>
      <c r="D12" s="2" t="inlineStr">
        <is>
          <t>Area sekitar 3,70 x 3,70 mm; via 0,50 dan pad 0,90 (Gambar 11)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8" customWidth="1" min="3" max="3"/>
    <col width="60" customWidth="1" min="4" max="4"/>
  </cols>
  <sheetData>
    <row r="1">
      <c r="A1" s="1" t="inlineStr">
        <is>
          <t>No</t>
        </is>
      </c>
      <c r="B1" s="1" t="inlineStr">
        <is>
          <t>Yang diukur</t>
        </is>
      </c>
      <c r="C1" s="1" t="inlineStr">
        <is>
          <t>Hasil ukur (mm)</t>
        </is>
      </c>
      <c r="D1" s="1" t="inlineStr">
        <is>
          <t>Catatan / cek</t>
        </is>
      </c>
    </row>
    <row r="2">
      <c r="A2" s="2" t="n">
        <v>1</v>
      </c>
      <c r="B2" s="2" t="inlineStr">
        <is>
          <t>Panjang papan</t>
        </is>
      </c>
      <c r="C2" s="3" t="n">
        <v>51.5</v>
      </c>
      <c r="D2" s="2" t="inlineStr">
        <is>
          <t>Panjang sudah termasuk area antena Wi-Fi</t>
        </is>
      </c>
    </row>
    <row r="3">
      <c r="A3" s="2" t="n">
        <v>2</v>
      </c>
      <c r="B3" s="2" t="inlineStr">
        <is>
          <t>Lebar papan</t>
        </is>
      </c>
      <c r="C3" s="3" t="n">
        <v>28.2</v>
      </c>
      <c r="D3" s="2">
        <f>IF(AND(C3&lt;&gt;"",C4&lt;&gt;""),"Sisa per sisi: "&amp;TEXT((C3-C4)/2,"0.00")&amp;" mm","")</f>
        <v/>
      </c>
    </row>
    <row r="4">
      <c r="A4" s="2" t="n">
        <v>3</v>
      </c>
      <c r="B4" s="2" t="inlineStr">
        <is>
          <t>Jarak antar dua baris header, pusat ke pusat</t>
        </is>
      </c>
      <c r="C4" s="3">
        <f>25.8-2*(C8/2)</f>
        <v/>
      </c>
      <c r="D4" s="2">
        <f>IF(C4="","",IF(OR(C4&lt;10,C4&gt;40),"Di luar 10-40 mm: cek satuan",IF(ABS(C4/2.54-ROUND(C4/2.54,0))&lt;0.05,"Kelipatan 2,54: wajar","Bukan kelipatan 2,54: ukur ulang")))</f>
        <v/>
      </c>
    </row>
    <row r="5">
      <c r="A5" s="2" t="n">
        <v>4</v>
      </c>
      <c r="B5" s="2" t="inlineStr">
        <is>
          <t>Jarak antar pin (cek 2,54)</t>
        </is>
      </c>
      <c r="C5" s="3" t="n">
        <v>2.5</v>
      </c>
      <c r="D5" s="2">
        <f>IF(C5="","",IF(ABS(C5-2.54)&lt;0.1,"Sesuai 2,54","Beda dari 2,54: ukur ulang"))</f>
        <v/>
      </c>
    </row>
    <row r="6">
      <c r="A6" s="2" t="n">
        <v>5</v>
      </c>
      <c r="B6" s="2" t="inlineStr">
        <is>
          <t>Jumlah pin per baris (cek 15)</t>
        </is>
      </c>
      <c r="C6" s="3" t="n">
        <v>15</v>
      </c>
      <c r="D6" s="2" t="inlineStr"/>
    </row>
    <row r="7">
      <c r="A7" s="2" t="n">
        <v>6</v>
      </c>
      <c r="B7" s="2" t="inlineStr">
        <is>
          <t>Panjang barisan: pusat pin pertama ke pusat pin terakhir</t>
        </is>
      </c>
      <c r="C7" s="3" t="n">
        <v>35.5</v>
      </c>
      <c r="D7" s="2">
        <f>IF(OR(C6="",C7=""),"",IF(ABS(C7-(C6-1)*2.54)&lt;0.3,"Cocok dengan (jumlah pin - 1) x 2,54","Tidak cocok: periksa jumlah pin atau ukuran"))</f>
        <v/>
      </c>
    </row>
    <row r="8">
      <c r="A8" s="2" t="n">
        <v>7</v>
      </c>
      <c r="B8" s="2" t="inlineStr">
        <is>
          <t>Diameter kaki header</t>
        </is>
      </c>
      <c r="C8" s="3" t="n">
        <v>0.5</v>
      </c>
      <c r="D8" s="2" t="inlineStr"/>
    </row>
    <row r="9">
      <c r="A9" s="2" t="n">
        <v>8</v>
      </c>
      <c r="B9" s="2" t="inlineStr">
        <is>
          <t>Konektor USB: tinggi x panjang x lebar (mm)</t>
        </is>
      </c>
      <c r="C9" s="3" t="inlineStr">
        <is>
          <t>2,7 x 5,7 x 7,7</t>
        </is>
      </c>
      <c r="D9" s="2" t="inlineStr">
        <is>
          <t>Urutan dugaan (tinggi x panjang x lebar). Konektor tidak menonjol melewati tepi papan</t>
        </is>
      </c>
    </row>
    <row r="10">
      <c r="A10" s="2" t="n">
        <v>9</v>
      </c>
      <c r="B10" s="2" t="inlineStr">
        <is>
          <t>Tinggi total, dari ujung pin header di bawah sampai komponen tertinggi</t>
        </is>
      </c>
      <c r="C10" s="3" t="n">
        <v>12.4</v>
      </c>
      <c r="D10" s="2" t="inlineStr">
        <is>
          <t>Sudah termasuk pin header di bawah papan. Tinggi di atas soket = 12,4 dikurangi tonjolan pin (belum diukur)</t>
        </is>
      </c>
    </row>
    <row r="11">
      <c r="A11" s="2" t="n">
        <v>10</v>
      </c>
      <c r="B11" s="2" t="inlineStr">
        <is>
          <t>Tebal PCB papan</t>
        </is>
      </c>
      <c r="C11" s="3" t="n">
        <v>1</v>
      </c>
      <c r="D11" s="2" t="n"/>
    </row>
    <row r="12">
      <c r="A12" s="2" t="n">
        <v>11</v>
      </c>
      <c r="B12" s="2" t="inlineStr">
        <is>
          <t>Tebal papan + modul ESP32</t>
        </is>
      </c>
      <c r="C12" s="3" t="n">
        <v>4.2</v>
      </c>
      <c r="D12" s="2">
        <f>IF(C12="","","Modul = "&amp;TEXT(C12-C11,"0.0")&amp;" mm; datasheet 3,10 ± 0,15: "&amp;IF(ABS((C12-C11)-3.1)&lt;=0.15,"cocok","di luar toleransi"))</f>
        <v/>
      </c>
    </row>
    <row r="13">
      <c r="A13" s="2" t="n">
        <v>12</v>
      </c>
      <c r="B13" s="2" t="inlineStr">
        <is>
          <t>Tebal papan + pin header</t>
        </is>
      </c>
      <c r="C13" s="3" t="n">
        <v>9.199999999999999</v>
      </c>
      <c r="D13" s="2">
        <f>IF(OR(C13="",C11=""),"","Pin menonjol di bawah PCB sekitar "&amp;TEXT(C13-C11,"0.0")&amp;" mm; cek: "&amp;TEXT(C13+(C12-C11),"0.0")&amp;" vs tinggi total 12,4")</f>
        <v/>
      </c>
    </row>
    <row r="14">
      <c r="A14" s="2" t="n">
        <v>13</v>
      </c>
      <c r="B14" s="2" t="inlineStr">
        <is>
          <t>Tebal papan + plastik header</t>
        </is>
      </c>
      <c r="C14" s="3" t="n">
        <v>3.4</v>
      </c>
      <c r="D14" s="2">
        <f>IF(OR(C14="",C11="",C13=""),"","Plastik header "&amp;TEXT(C14-C11,"0.0")&amp;" mm; pin di bawah plastik "&amp;TEXT(C13-C14,"0.0")&amp;" mm (kedalaman ke soket); tinggi di atas bibir soket "&amp;TEXT((C14-C11)+C12,"0.0")&amp;" mm")</f>
        <v/>
      </c>
    </row>
    <row r="15"/>
    <row r="16">
      <c r="A16" t="inlineStr">
        <is>
          <t>Sel kuning diisi hasil ukur sendiri. Papan DevKit V1 tidak punya gambar dimensi pabrikan di berkas kita.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80" customWidth="1" min="3" max="3"/>
  </cols>
  <sheetData>
    <row r="1">
      <c r="A1" s="1" t="inlineStr">
        <is>
          <t>No</t>
        </is>
      </c>
      <c r="B1" s="1" t="inlineStr">
        <is>
          <t>Hal</t>
        </is>
      </c>
      <c r="C1" s="1" t="inlineStr">
        <is>
          <t>Keterangan</t>
        </is>
      </c>
    </row>
    <row r="2">
      <c r="A2" s="2" t="n">
        <v>1</v>
      </c>
      <c r="B2" s="2" t="inlineStr">
        <is>
          <t>Dimensi papan DevKit V1</t>
        </is>
      </c>
      <c r="C2" s="2" t="inlineStr">
        <is>
          <t>Harus diukur (lihat sheet DevKit V1)</t>
        </is>
      </c>
    </row>
    <row r="3">
      <c r="A3" s="2" t="n">
        <v>2</v>
      </c>
      <c r="B3" s="2" t="inlineStr">
        <is>
          <t>Varian modul di papan</t>
        </is>
      </c>
      <c r="C3" s="2" t="inlineStr">
        <is>
          <t>Cetakan hanya terbaca "ESP-32" dan "XXSR69"; chip D0WD-V3 terkonfirmasi lewat perangkat lunak</t>
        </is>
      </c>
    </row>
    <row r="4">
      <c r="A4" s="2" t="n">
        <v>3</v>
      </c>
      <c r="B4" s="2" t="inlineStr">
        <is>
          <t>Persyaratan PCB v1 dari kelas</t>
        </is>
      </c>
      <c r="C4" s="2" t="inlineStr">
        <is>
          <t>Alat desain, ukuran papan, aturan jalur: menunggu materi di EMAS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2026-10-10T05:51:44Z</dcterms:created>
  <dcterms:modified xmlns:dcterms="http://purl.org/dc/terms/" xmlns:xsi="http://www.w3.org/2001/XMLSchema-instance" xsi:type="dcterms:W3CDTF">2026-10-10T07:03:28Z</dcterms:modified>
</cp:coreProperties>
</file>